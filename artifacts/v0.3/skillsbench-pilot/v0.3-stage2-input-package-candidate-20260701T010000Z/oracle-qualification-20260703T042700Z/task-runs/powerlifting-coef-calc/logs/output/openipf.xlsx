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ots" sheetId="2" r:id="rId2"/>
  </sheets>
  <calcPr calcId="124519" fullCalcOnLoad="1"/>
</workbook>
</file>

<file path=xl/sharedStrings.xml><?xml version="1.0" encoding="utf-8"?>
<sst xmlns="http://schemas.openxmlformats.org/spreadsheetml/2006/main" count="425" uniqueCount="181">
  <si>
    <t>Name</t>
  </si>
  <si>
    <t>Sex</t>
  </si>
  <si>
    <t>Event</t>
  </si>
  <si>
    <t>Equipment</t>
  </si>
  <si>
    <t>Age</t>
  </si>
  <si>
    <t>AgeClass</t>
  </si>
  <si>
    <t>BirthYearClass</t>
  </si>
  <si>
    <t>Division</t>
  </si>
  <si>
    <t>BodyweightKg</t>
  </si>
  <si>
    <t>WeightClassKg</t>
  </si>
  <si>
    <t>Best3SquatKg</t>
  </si>
  <si>
    <t>Best3BenchKg</t>
  </si>
  <si>
    <t>Best3DeadliftKg</t>
  </si>
  <si>
    <t>Place</t>
  </si>
  <si>
    <t>Tested</t>
  </si>
  <si>
    <t>Country</t>
  </si>
  <si>
    <t>State</t>
  </si>
  <si>
    <t>Federation</t>
  </si>
  <si>
    <t>ParentFederation</t>
  </si>
  <si>
    <t>Date</t>
  </si>
  <si>
    <t>MeetCountry</t>
  </si>
  <si>
    <t>MeetState</t>
  </si>
  <si>
    <t>MeetTown</t>
  </si>
  <si>
    <t>MeetName</t>
  </si>
  <si>
    <t>Sanctioned</t>
  </si>
  <si>
    <t>Julien Comte</t>
  </si>
  <si>
    <t>M</t>
  </si>
  <si>
    <t>SBD</t>
  </si>
  <si>
    <t>Raw</t>
  </si>
  <si>
    <t>40-44</t>
  </si>
  <si>
    <t>40-49</t>
  </si>
  <si>
    <t>MR-O</t>
  </si>
  <si>
    <t>83</t>
  </si>
  <si>
    <t>2</t>
  </si>
  <si>
    <t>Yes</t>
  </si>
  <si>
    <t>USA</t>
  </si>
  <si>
    <t>PA</t>
  </si>
  <si>
    <t>AMP</t>
  </si>
  <si>
    <t>IPF</t>
  </si>
  <si>
    <t>2025-12-06</t>
  </si>
  <si>
    <t>OH</t>
  </si>
  <si>
    <t>Columbus</t>
  </si>
  <si>
    <t>The Ohio Meet</t>
  </si>
  <si>
    <t>Matthew Starkey</t>
  </si>
  <si>
    <t>20-23</t>
  </si>
  <si>
    <t>19-23</t>
  </si>
  <si>
    <t>MR-Jr</t>
  </si>
  <si>
    <t>1</t>
  </si>
  <si>
    <t>CO</t>
  </si>
  <si>
    <t>USAPL</t>
  </si>
  <si>
    <t>2020-08-08</t>
  </si>
  <si>
    <t>Littleton</t>
  </si>
  <si>
    <t>Adventures of Yokey the Bear</t>
  </si>
  <si>
    <t>Austin Keanu</t>
  </si>
  <si>
    <t>60-64</t>
  </si>
  <si>
    <t>60-69</t>
  </si>
  <si>
    <t>MR-M3</t>
  </si>
  <si>
    <t>120+</t>
  </si>
  <si>
    <t>HI</t>
  </si>
  <si>
    <t>2024-12-15</t>
  </si>
  <si>
    <t>Honolulu</t>
  </si>
  <si>
    <t>Merry Liftmas Hawaiʻi</t>
  </si>
  <si>
    <t>Michelle McKeaveney</t>
  </si>
  <si>
    <t>F</t>
  </si>
  <si>
    <t>45-49</t>
  </si>
  <si>
    <t>Masters 1</t>
  </si>
  <si>
    <t>84+</t>
  </si>
  <si>
    <t>Canada</t>
  </si>
  <si>
    <t>SK</t>
  </si>
  <si>
    <t>CPU</t>
  </si>
  <si>
    <t>2016-10-01</t>
  </si>
  <si>
    <t>Saskatoon</t>
  </si>
  <si>
    <t>Saskatchewan Provincials</t>
  </si>
  <si>
    <t>Tracy Klinger</t>
  </si>
  <si>
    <t>55-59</t>
  </si>
  <si>
    <t>50-59</t>
  </si>
  <si>
    <t>FR-M2</t>
  </si>
  <si>
    <t>3</t>
  </si>
  <si>
    <t>FL</t>
  </si>
  <si>
    <t>Gainesville</t>
  </si>
  <si>
    <t>34th Annual Florida Sports Foundation Senior Games Championship</t>
  </si>
  <si>
    <t>Mohanad Ibrahiem</t>
  </si>
  <si>
    <t>24-34</t>
  </si>
  <si>
    <t>24-39</t>
  </si>
  <si>
    <t>Open</t>
  </si>
  <si>
    <t>105</t>
  </si>
  <si>
    <t>5</t>
  </si>
  <si>
    <t>AB</t>
  </si>
  <si>
    <t>2025-06-15</t>
  </si>
  <si>
    <t>Edmonton</t>
  </si>
  <si>
    <t>Alberta Powerlifting Union Provincial Championships</t>
  </si>
  <si>
    <t>Pamela Cresci</t>
  </si>
  <si>
    <t>18-19</t>
  </si>
  <si>
    <t>FR-T3</t>
  </si>
  <si>
    <t>63</t>
  </si>
  <si>
    <t>2013-07-19</t>
  </si>
  <si>
    <t>Orlando</t>
  </si>
  <si>
    <t>Raw Nationals</t>
  </si>
  <si>
    <t>Wilie Carpentier</t>
  </si>
  <si>
    <t>16-17</t>
  </si>
  <si>
    <t>14-18</t>
  </si>
  <si>
    <t>Sub-Juniors</t>
  </si>
  <si>
    <t>QC</t>
  </si>
  <si>
    <t>2025-02-15</t>
  </si>
  <si>
    <t>Lévis</t>
  </si>
  <si>
    <t>Les épreuves d'Atlas</t>
  </si>
  <si>
    <t>Joshua Noble</t>
  </si>
  <si>
    <t>93</t>
  </si>
  <si>
    <t>70</t>
  </si>
  <si>
    <t>IA</t>
  </si>
  <si>
    <t>2016-10-13</t>
  </si>
  <si>
    <t>GA</t>
  </si>
  <si>
    <t>Atlanta</t>
  </si>
  <si>
    <t>Amber Gomez</t>
  </si>
  <si>
    <t>FR-M1</t>
  </si>
  <si>
    <t>76</t>
  </si>
  <si>
    <t>TX</t>
  </si>
  <si>
    <t>2025-04-26</t>
  </si>
  <si>
    <t>Austin</t>
  </si>
  <si>
    <t>Gameday Birthday Bash</t>
  </si>
  <si>
    <t>Arlene van Diepen</t>
  </si>
  <si>
    <t>Masters 3</t>
  </si>
  <si>
    <t>84</t>
  </si>
  <si>
    <t>PE</t>
  </si>
  <si>
    <t>2018-02-19</t>
  </si>
  <si>
    <t>Calgary</t>
  </si>
  <si>
    <t>Canadian Championship</t>
  </si>
  <si>
    <t>Alma Kimura</t>
  </si>
  <si>
    <t>70-74</t>
  </si>
  <si>
    <t>70-999</t>
  </si>
  <si>
    <t>FR-M4</t>
  </si>
  <si>
    <t>WA</t>
  </si>
  <si>
    <t>2025-05-28</t>
  </si>
  <si>
    <t>NV</t>
  </si>
  <si>
    <t>Reno</t>
  </si>
  <si>
    <t>Classic and Equipped Age Division Nationals</t>
  </si>
  <si>
    <t>Jonathan Cruz #1</t>
  </si>
  <si>
    <t>74</t>
  </si>
  <si>
    <t>BC</t>
  </si>
  <si>
    <t>2021-11-13</t>
  </si>
  <si>
    <t>Richmond</t>
  </si>
  <si>
    <t>Western Canadians</t>
  </si>
  <si>
    <t>Serena Abweh</t>
  </si>
  <si>
    <t>FR-T2</t>
  </si>
  <si>
    <t>47</t>
  </si>
  <si>
    <t>NM</t>
  </si>
  <si>
    <t>2018-10-11</t>
  </si>
  <si>
    <t>Spokane</t>
  </si>
  <si>
    <t>Ashleigh Sutton</t>
  </si>
  <si>
    <t>FR-Jr</t>
  </si>
  <si>
    <t>England</t>
  </si>
  <si>
    <t>WM</t>
  </si>
  <si>
    <t>BP</t>
  </si>
  <si>
    <t>2024-03-19</t>
  </si>
  <si>
    <t>Solihull</t>
  </si>
  <si>
    <t>British Junior Powerlifting Championships</t>
  </si>
  <si>
    <t>Aaron Ziffle</t>
  </si>
  <si>
    <t>2015-12-18</t>
  </si>
  <si>
    <t>Moose Jaw</t>
  </si>
  <si>
    <t>Western Canadian Championship</t>
  </si>
  <si>
    <t>Adelaide Hurlbert</t>
  </si>
  <si>
    <t>21</t>
  </si>
  <si>
    <t>NY</t>
  </si>
  <si>
    <t>Coralee Traurig</t>
  </si>
  <si>
    <t>FR-O</t>
  </si>
  <si>
    <t>72</t>
  </si>
  <si>
    <t>2016-09-25</t>
  </si>
  <si>
    <t>Wheat Ridge</t>
  </si>
  <si>
    <t>Colorado Fall Open</t>
  </si>
  <si>
    <t>Hugo Laliberté</t>
  </si>
  <si>
    <t>Juniors</t>
  </si>
  <si>
    <t>2013-08-24</t>
  </si>
  <si>
    <t>Varennes</t>
  </si>
  <si>
    <t>South Shore Challenge</t>
  </si>
  <si>
    <t>Curtis Laird</t>
  </si>
  <si>
    <t>35-39</t>
  </si>
  <si>
    <t>110</t>
  </si>
  <si>
    <t>SC</t>
  </si>
  <si>
    <t>2009-06-27</t>
  </si>
  <si>
    <t>Columbia</t>
  </si>
  <si>
    <t>State Championships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</si>
</sst>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Y2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 t="s">
        <v>25</v>
      </c>
      <c r="B2" s="1" t="s">
        <v>26</v>
      </c>
      <c r="C2" s="1" t="s">
        <v>27</v>
      </c>
      <c r="D2" s="1" t="s">
        <v>28</v>
      </c>
      <c r="E2" s="2">
        <v>43</v>
      </c>
      <c r="F2" s="1" t="s">
        <v>29</v>
      </c>
      <c r="G2" s="1" t="s">
        <v>30</v>
      </c>
      <c r="H2" s="1" t="s">
        <v>31</v>
      </c>
      <c r="I2" s="2">
        <v>82.25</v>
      </c>
      <c r="J2" s="1" t="s">
        <v>32</v>
      </c>
      <c r="K2" s="2">
        <v>215</v>
      </c>
      <c r="L2" s="2">
        <v>132.5</v>
      </c>
      <c r="M2" s="2">
        <v>260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35</v>
      </c>
      <c r="V2" s="1" t="s">
        <v>40</v>
      </c>
      <c r="W2" s="1" t="s">
        <v>41</v>
      </c>
      <c r="X2" s="1" t="s">
        <v>42</v>
      </c>
      <c r="Y2" s="1" t="s">
        <v>34</v>
      </c>
    </row>
    <row r="3" spans="1:25">
      <c r="A3" s="1" t="s">
        <v>43</v>
      </c>
      <c r="B3" s="1" t="s">
        <v>26</v>
      </c>
      <c r="C3" s="1" t="s">
        <v>27</v>
      </c>
      <c r="D3" s="1" t="s">
        <v>28</v>
      </c>
      <c r="E3" s="2">
        <v>23</v>
      </c>
      <c r="F3" s="1" t="s">
        <v>44</v>
      </c>
      <c r="G3" s="1" t="s">
        <v>45</v>
      </c>
      <c r="H3" s="1" t="s">
        <v>46</v>
      </c>
      <c r="I3" s="2">
        <v>82.90000000000001</v>
      </c>
      <c r="J3" s="1" t="s">
        <v>32</v>
      </c>
      <c r="K3" s="2">
        <v>205</v>
      </c>
      <c r="L3" s="2">
        <v>130</v>
      </c>
      <c r="M3" s="2">
        <v>227.5</v>
      </c>
      <c r="N3" s="1" t="s">
        <v>47</v>
      </c>
      <c r="O3" s="1" t="s">
        <v>34</v>
      </c>
      <c r="P3" s="1" t="s">
        <v>35</v>
      </c>
      <c r="Q3" s="1" t="s">
        <v>48</v>
      </c>
      <c r="R3" s="1" t="s">
        <v>49</v>
      </c>
      <c r="S3" s="1" t="s">
        <v>38</v>
      </c>
      <c r="T3" s="1" t="s">
        <v>50</v>
      </c>
      <c r="U3" s="1" t="s">
        <v>35</v>
      </c>
      <c r="V3" s="1" t="s">
        <v>48</v>
      </c>
      <c r="W3" s="1" t="s">
        <v>51</v>
      </c>
      <c r="X3" s="1" t="s">
        <v>52</v>
      </c>
      <c r="Y3" s="1" t="s">
        <v>34</v>
      </c>
    </row>
    <row r="4" spans="1:25">
      <c r="A4" s="1" t="s">
        <v>53</v>
      </c>
      <c r="B4" s="1" t="s">
        <v>26</v>
      </c>
      <c r="C4" s="1" t="s">
        <v>27</v>
      </c>
      <c r="D4" s="1" t="s">
        <v>28</v>
      </c>
      <c r="E4" s="2">
        <v>63</v>
      </c>
      <c r="F4" s="1" t="s">
        <v>54</v>
      </c>
      <c r="G4" s="1" t="s">
        <v>55</v>
      </c>
      <c r="H4" s="1" t="s">
        <v>56</v>
      </c>
      <c r="I4" s="2">
        <v>122.4</v>
      </c>
      <c r="J4" s="1" t="s">
        <v>57</v>
      </c>
      <c r="K4" s="2">
        <v>275</v>
      </c>
      <c r="L4" s="2">
        <v>142.5</v>
      </c>
      <c r="M4" s="2">
        <v>235</v>
      </c>
      <c r="N4" s="1" t="s">
        <v>47</v>
      </c>
      <c r="O4" s="1" t="s">
        <v>34</v>
      </c>
      <c r="P4" s="1" t="s">
        <v>35</v>
      </c>
      <c r="Q4" s="1" t="s">
        <v>58</v>
      </c>
      <c r="R4" s="1" t="s">
        <v>37</v>
      </c>
      <c r="S4" s="1" t="s">
        <v>38</v>
      </c>
      <c r="T4" s="1" t="s">
        <v>59</v>
      </c>
      <c r="U4" s="1" t="s">
        <v>35</v>
      </c>
      <c r="V4" s="1" t="s">
        <v>58</v>
      </c>
      <c r="W4" s="1" t="s">
        <v>60</v>
      </c>
      <c r="X4" s="1" t="s">
        <v>61</v>
      </c>
      <c r="Y4" s="1" t="s">
        <v>34</v>
      </c>
    </row>
    <row r="5" spans="1:25">
      <c r="A5" s="1" t="s">
        <v>62</v>
      </c>
      <c r="B5" s="1" t="s">
        <v>63</v>
      </c>
      <c r="C5" s="1" t="s">
        <v>27</v>
      </c>
      <c r="D5" s="1" t="s">
        <v>28</v>
      </c>
      <c r="E5" s="2">
        <v>48.5</v>
      </c>
      <c r="F5" s="1" t="s">
        <v>64</v>
      </c>
      <c r="G5" s="1" t="s">
        <v>30</v>
      </c>
      <c r="H5" s="1" t="s">
        <v>65</v>
      </c>
      <c r="I5" s="2">
        <v>96.8</v>
      </c>
      <c r="J5" s="1" t="s">
        <v>66</v>
      </c>
      <c r="K5" s="2">
        <v>102.5</v>
      </c>
      <c r="L5" s="2">
        <v>50</v>
      </c>
      <c r="M5" s="2">
        <v>137.5</v>
      </c>
      <c r="N5" s="1" t="s">
        <v>33</v>
      </c>
      <c r="O5" s="1" t="s">
        <v>34</v>
      </c>
      <c r="P5" s="1" t="s">
        <v>67</v>
      </c>
      <c r="Q5" s="1" t="s">
        <v>68</v>
      </c>
      <c r="R5" s="1" t="s">
        <v>69</v>
      </c>
      <c r="S5" s="1" t="s">
        <v>38</v>
      </c>
      <c r="T5" s="1" t="s">
        <v>70</v>
      </c>
      <c r="U5" s="1" t="s">
        <v>67</v>
      </c>
      <c r="V5" s="1" t="s">
        <v>68</v>
      </c>
      <c r="W5" s="1" t="s">
        <v>71</v>
      </c>
      <c r="X5" s="1" t="s">
        <v>72</v>
      </c>
      <c r="Y5" s="1" t="s">
        <v>34</v>
      </c>
    </row>
    <row r="6" spans="1:25">
      <c r="A6" s="1" t="s">
        <v>73</v>
      </c>
      <c r="B6" s="1" t="s">
        <v>63</v>
      </c>
      <c r="C6" s="1" t="s">
        <v>27</v>
      </c>
      <c r="D6" s="1" t="s">
        <v>28</v>
      </c>
      <c r="E6" s="2">
        <v>56</v>
      </c>
      <c r="F6" s="1" t="s">
        <v>74</v>
      </c>
      <c r="G6" s="1" t="s">
        <v>75</v>
      </c>
      <c r="H6" s="1" t="s">
        <v>76</v>
      </c>
      <c r="I6" s="2">
        <v>130.82</v>
      </c>
      <c r="J6" s="1" t="s">
        <v>66</v>
      </c>
      <c r="K6" s="2">
        <v>62.5</v>
      </c>
      <c r="L6" s="2">
        <v>57.5</v>
      </c>
      <c r="M6" s="2">
        <v>117.5</v>
      </c>
      <c r="N6" s="1" t="s">
        <v>77</v>
      </c>
      <c r="O6" s="1" t="s">
        <v>34</v>
      </c>
      <c r="P6" s="1" t="s">
        <v>35</v>
      </c>
      <c r="Q6" s="1" t="s">
        <v>78</v>
      </c>
      <c r="R6" s="1" t="s">
        <v>37</v>
      </c>
      <c r="S6" s="1" t="s">
        <v>38</v>
      </c>
      <c r="T6" s="1" t="s">
        <v>39</v>
      </c>
      <c r="U6" s="1" t="s">
        <v>35</v>
      </c>
      <c r="V6" s="1" t="s">
        <v>78</v>
      </c>
      <c r="W6" s="1" t="s">
        <v>79</v>
      </c>
      <c r="X6" s="1" t="s">
        <v>80</v>
      </c>
      <c r="Y6" s="1" t="s">
        <v>34</v>
      </c>
    </row>
    <row r="7" spans="1:25">
      <c r="A7" s="1" t="s">
        <v>81</v>
      </c>
      <c r="B7" s="1" t="s">
        <v>26</v>
      </c>
      <c r="C7" s="1" t="s">
        <v>27</v>
      </c>
      <c r="D7" s="1" t="s">
        <v>28</v>
      </c>
      <c r="E7" s="2">
        <v>24.5</v>
      </c>
      <c r="F7" s="1" t="s">
        <v>82</v>
      </c>
      <c r="G7" s="1" t="s">
        <v>83</v>
      </c>
      <c r="H7" s="1" t="s">
        <v>84</v>
      </c>
      <c r="I7" s="2">
        <v>103.94</v>
      </c>
      <c r="J7" s="1" t="s">
        <v>85</v>
      </c>
      <c r="K7" s="2">
        <v>255</v>
      </c>
      <c r="L7" s="2">
        <v>165</v>
      </c>
      <c r="M7" s="2">
        <v>292.5</v>
      </c>
      <c r="N7" s="1" t="s">
        <v>86</v>
      </c>
      <c r="O7" s="1" t="s">
        <v>34</v>
      </c>
      <c r="P7" s="1" t="s">
        <v>67</v>
      </c>
      <c r="Q7" s="1" t="s">
        <v>87</v>
      </c>
      <c r="R7" s="1" t="s">
        <v>69</v>
      </c>
      <c r="S7" s="1" t="s">
        <v>38</v>
      </c>
      <c r="T7" s="1" t="s">
        <v>88</v>
      </c>
      <c r="U7" s="1" t="s">
        <v>67</v>
      </c>
      <c r="V7" s="1" t="s">
        <v>87</v>
      </c>
      <c r="W7" s="1" t="s">
        <v>89</v>
      </c>
      <c r="X7" s="1" t="s">
        <v>90</v>
      </c>
      <c r="Y7" s="1" t="s">
        <v>34</v>
      </c>
    </row>
    <row r="8" spans="1:25">
      <c r="A8" s="1" t="s">
        <v>91</v>
      </c>
      <c r="B8" s="1" t="s">
        <v>63</v>
      </c>
      <c r="C8" s="1" t="s">
        <v>27</v>
      </c>
      <c r="D8" s="1" t="s">
        <v>28</v>
      </c>
      <c r="E8" s="2">
        <v>19</v>
      </c>
      <c r="F8" s="1" t="s">
        <v>92</v>
      </c>
      <c r="G8" s="1" t="s">
        <v>45</v>
      </c>
      <c r="H8" s="1" t="s">
        <v>93</v>
      </c>
      <c r="I8" s="2">
        <v>58.2</v>
      </c>
      <c r="J8" s="1" t="s">
        <v>94</v>
      </c>
      <c r="K8" s="2">
        <v>82.5</v>
      </c>
      <c r="L8" s="2">
        <v>47.5</v>
      </c>
      <c r="M8" s="2">
        <v>130</v>
      </c>
      <c r="N8" s="1" t="s">
        <v>33</v>
      </c>
      <c r="O8" s="1" t="s">
        <v>34</v>
      </c>
      <c r="P8" s="1" t="s">
        <v>35</v>
      </c>
      <c r="Q8" s="1" t="s">
        <v>78</v>
      </c>
      <c r="R8" s="1" t="s">
        <v>49</v>
      </c>
      <c r="S8" s="1" t="s">
        <v>38</v>
      </c>
      <c r="T8" s="1" t="s">
        <v>95</v>
      </c>
      <c r="U8" s="1" t="s">
        <v>35</v>
      </c>
      <c r="V8" s="1" t="s">
        <v>78</v>
      </c>
      <c r="W8" s="1" t="s">
        <v>96</v>
      </c>
      <c r="X8" s="1" t="s">
        <v>97</v>
      </c>
      <c r="Y8" s="1" t="s">
        <v>34</v>
      </c>
    </row>
    <row r="9" spans="1:25">
      <c r="A9" s="1" t="s">
        <v>98</v>
      </c>
      <c r="B9" s="1" t="s">
        <v>26</v>
      </c>
      <c r="C9" s="1" t="s">
        <v>27</v>
      </c>
      <c r="D9" s="1" t="s">
        <v>28</v>
      </c>
      <c r="E9" s="2">
        <v>16.5</v>
      </c>
      <c r="F9" s="1" t="s">
        <v>99</v>
      </c>
      <c r="G9" s="1" t="s">
        <v>100</v>
      </c>
      <c r="H9" s="1" t="s">
        <v>101</v>
      </c>
      <c r="I9" s="2">
        <v>81.8</v>
      </c>
      <c r="J9" s="1" t="s">
        <v>32</v>
      </c>
      <c r="K9" s="2">
        <v>200</v>
      </c>
      <c r="L9" s="2">
        <v>130</v>
      </c>
      <c r="M9" s="2">
        <v>237.5</v>
      </c>
      <c r="N9" s="1" t="s">
        <v>47</v>
      </c>
      <c r="O9" s="1" t="s">
        <v>34</v>
      </c>
      <c r="P9" s="1" t="s">
        <v>67</v>
      </c>
      <c r="Q9" s="1" t="s">
        <v>102</v>
      </c>
      <c r="R9" s="1" t="s">
        <v>69</v>
      </c>
      <c r="S9" s="1" t="s">
        <v>38</v>
      </c>
      <c r="T9" s="1" t="s">
        <v>103</v>
      </c>
      <c r="U9" s="1" t="s">
        <v>67</v>
      </c>
      <c r="V9" s="1" t="s">
        <v>102</v>
      </c>
      <c r="W9" s="1" t="s">
        <v>104</v>
      </c>
      <c r="X9" s="1" t="s">
        <v>105</v>
      </c>
      <c r="Y9" s="1" t="s">
        <v>34</v>
      </c>
    </row>
    <row r="10" spans="1:25">
      <c r="A10" s="1" t="s">
        <v>106</v>
      </c>
      <c r="B10" s="1" t="s">
        <v>26</v>
      </c>
      <c r="C10" s="1" t="s">
        <v>27</v>
      </c>
      <c r="D10" s="1" t="s">
        <v>28</v>
      </c>
      <c r="E10" s="2">
        <v>30.5</v>
      </c>
      <c r="F10" s="1" t="s">
        <v>82</v>
      </c>
      <c r="G10" s="1" t="s">
        <v>83</v>
      </c>
      <c r="H10" s="1" t="s">
        <v>31</v>
      </c>
      <c r="I10" s="2">
        <v>90.5</v>
      </c>
      <c r="J10" s="1" t="s">
        <v>107</v>
      </c>
      <c r="K10" s="2">
        <v>242.5</v>
      </c>
      <c r="L10" s="2">
        <v>132.5</v>
      </c>
      <c r="M10" s="2">
        <v>232.5</v>
      </c>
      <c r="N10" s="1" t="s">
        <v>108</v>
      </c>
      <c r="O10" s="1" t="s">
        <v>34</v>
      </c>
      <c r="P10" s="1" t="s">
        <v>35</v>
      </c>
      <c r="Q10" s="1" t="s">
        <v>109</v>
      </c>
      <c r="R10" s="1" t="s">
        <v>49</v>
      </c>
      <c r="S10" s="1" t="s">
        <v>38</v>
      </c>
      <c r="T10" s="1" t="s">
        <v>110</v>
      </c>
      <c r="U10" s="1" t="s">
        <v>35</v>
      </c>
      <c r="V10" s="1" t="s">
        <v>111</v>
      </c>
      <c r="W10" s="1" t="s">
        <v>112</v>
      </c>
      <c r="X10" s="1" t="s">
        <v>97</v>
      </c>
      <c r="Y10" s="1" t="s">
        <v>34</v>
      </c>
    </row>
    <row r="11" spans="1:25">
      <c r="A11" s="1" t="s">
        <v>113</v>
      </c>
      <c r="B11" s="1" t="s">
        <v>63</v>
      </c>
      <c r="C11" s="1" t="s">
        <v>27</v>
      </c>
      <c r="D11" s="1" t="s">
        <v>28</v>
      </c>
      <c r="E11" s="2">
        <v>46</v>
      </c>
      <c r="F11" s="1" t="s">
        <v>64</v>
      </c>
      <c r="G11" s="1" t="s">
        <v>30</v>
      </c>
      <c r="H11" s="1" t="s">
        <v>114</v>
      </c>
      <c r="I11" s="2">
        <v>75.90000000000001</v>
      </c>
      <c r="J11" s="1" t="s">
        <v>115</v>
      </c>
      <c r="K11" s="2">
        <v>137.5</v>
      </c>
      <c r="L11" s="2">
        <v>75</v>
      </c>
      <c r="M11" s="2">
        <v>167.5</v>
      </c>
      <c r="N11" s="1" t="s">
        <v>47</v>
      </c>
      <c r="O11" s="1" t="s">
        <v>34</v>
      </c>
      <c r="P11" s="1" t="s">
        <v>35</v>
      </c>
      <c r="Q11" s="1" t="s">
        <v>116</v>
      </c>
      <c r="R11" s="1" t="s">
        <v>37</v>
      </c>
      <c r="S11" s="1" t="s">
        <v>38</v>
      </c>
      <c r="T11" s="1" t="s">
        <v>117</v>
      </c>
      <c r="U11" s="1" t="s">
        <v>35</v>
      </c>
      <c r="V11" s="1" t="s">
        <v>116</v>
      </c>
      <c r="W11" s="1" t="s">
        <v>118</v>
      </c>
      <c r="X11" s="1" t="s">
        <v>119</v>
      </c>
      <c r="Y11" s="1" t="s">
        <v>34</v>
      </c>
    </row>
    <row r="12" spans="1:25">
      <c r="A12" s="1" t="s">
        <v>120</v>
      </c>
      <c r="B12" s="1" t="s">
        <v>63</v>
      </c>
      <c r="C12" s="1" t="s">
        <v>27</v>
      </c>
      <c r="D12" s="1" t="s">
        <v>28</v>
      </c>
      <c r="E12" s="2">
        <v>60</v>
      </c>
      <c r="F12" s="1" t="s">
        <v>54</v>
      </c>
      <c r="G12" s="1" t="s">
        <v>55</v>
      </c>
      <c r="H12" s="1" t="s">
        <v>121</v>
      </c>
      <c r="I12" s="2">
        <v>79.3</v>
      </c>
      <c r="J12" s="1" t="s">
        <v>122</v>
      </c>
      <c r="K12" s="2">
        <v>107.5</v>
      </c>
      <c r="L12" s="2">
        <v>50</v>
      </c>
      <c r="M12" s="2">
        <v>140</v>
      </c>
      <c r="N12" s="1" t="s">
        <v>77</v>
      </c>
      <c r="O12" s="1" t="s">
        <v>34</v>
      </c>
      <c r="P12" s="1" t="s">
        <v>67</v>
      </c>
      <c r="Q12" s="1" t="s">
        <v>123</v>
      </c>
      <c r="R12" s="1" t="s">
        <v>69</v>
      </c>
      <c r="S12" s="1" t="s">
        <v>38</v>
      </c>
      <c r="T12" s="1" t="s">
        <v>124</v>
      </c>
      <c r="U12" s="1" t="s">
        <v>67</v>
      </c>
      <c r="V12" s="1" t="s">
        <v>87</v>
      </c>
      <c r="W12" s="1" t="s">
        <v>125</v>
      </c>
      <c r="X12" s="1" t="s">
        <v>126</v>
      </c>
      <c r="Y12" s="1" t="s">
        <v>34</v>
      </c>
    </row>
    <row r="13" spans="1:25">
      <c r="A13" s="1" t="s">
        <v>127</v>
      </c>
      <c r="B13" s="1" t="s">
        <v>63</v>
      </c>
      <c r="C13" s="1" t="s">
        <v>27</v>
      </c>
      <c r="D13" s="1" t="s">
        <v>28</v>
      </c>
      <c r="E13" s="2">
        <v>70</v>
      </c>
      <c r="F13" s="1" t="s">
        <v>128</v>
      </c>
      <c r="G13" s="1" t="s">
        <v>129</v>
      </c>
      <c r="H13" s="1" t="s">
        <v>130</v>
      </c>
      <c r="I13" s="2">
        <v>61.81</v>
      </c>
      <c r="J13" s="1" t="s">
        <v>94</v>
      </c>
      <c r="K13" s="2">
        <v>107.5</v>
      </c>
      <c r="L13" s="2">
        <v>52.5</v>
      </c>
      <c r="M13" s="2">
        <v>130</v>
      </c>
      <c r="N13" s="1" t="s">
        <v>47</v>
      </c>
      <c r="O13" s="1" t="s">
        <v>34</v>
      </c>
      <c r="P13" s="1" t="s">
        <v>35</v>
      </c>
      <c r="Q13" s="1" t="s">
        <v>131</v>
      </c>
      <c r="R13" s="1" t="s">
        <v>37</v>
      </c>
      <c r="S13" s="1" t="s">
        <v>38</v>
      </c>
      <c r="T13" s="1" t="s">
        <v>132</v>
      </c>
      <c r="U13" s="1" t="s">
        <v>35</v>
      </c>
      <c r="V13" s="1" t="s">
        <v>133</v>
      </c>
      <c r="W13" s="1" t="s">
        <v>134</v>
      </c>
      <c r="X13" s="1" t="s">
        <v>135</v>
      </c>
      <c r="Y13" s="1" t="s">
        <v>34</v>
      </c>
    </row>
    <row r="14" spans="1:25">
      <c r="A14" s="1" t="s">
        <v>136</v>
      </c>
      <c r="B14" s="1" t="s">
        <v>26</v>
      </c>
      <c r="C14" s="1" t="s">
        <v>27</v>
      </c>
      <c r="D14" s="1" t="s">
        <v>28</v>
      </c>
      <c r="E14" s="2">
        <v>29</v>
      </c>
      <c r="F14" s="1" t="s">
        <v>82</v>
      </c>
      <c r="G14" s="1" t="s">
        <v>83</v>
      </c>
      <c r="H14" s="1" t="s">
        <v>84</v>
      </c>
      <c r="I14" s="2">
        <v>72.5</v>
      </c>
      <c r="J14" s="1" t="s">
        <v>137</v>
      </c>
      <c r="K14" s="2">
        <v>245</v>
      </c>
      <c r="L14" s="2">
        <v>152.5</v>
      </c>
      <c r="M14" s="2">
        <v>290</v>
      </c>
      <c r="N14" s="1" t="s">
        <v>47</v>
      </c>
      <c r="O14" s="1" t="s">
        <v>34</v>
      </c>
      <c r="P14" s="1" t="s">
        <v>67</v>
      </c>
      <c r="Q14" s="1" t="s">
        <v>138</v>
      </c>
      <c r="R14" s="1" t="s">
        <v>69</v>
      </c>
      <c r="S14" s="1" t="s">
        <v>38</v>
      </c>
      <c r="T14" s="1" t="s">
        <v>139</v>
      </c>
      <c r="U14" s="1" t="s">
        <v>67</v>
      </c>
      <c r="V14" s="1" t="s">
        <v>138</v>
      </c>
      <c r="W14" s="1" t="s">
        <v>140</v>
      </c>
      <c r="X14" s="1" t="s">
        <v>141</v>
      </c>
      <c r="Y14" s="1" t="s">
        <v>34</v>
      </c>
    </row>
    <row r="15" spans="1:25">
      <c r="A15" s="1" t="s">
        <v>142</v>
      </c>
      <c r="B15" s="1" t="s">
        <v>63</v>
      </c>
      <c r="C15" s="1" t="s">
        <v>27</v>
      </c>
      <c r="D15" s="1" t="s">
        <v>28</v>
      </c>
      <c r="E15" s="2">
        <v>17</v>
      </c>
      <c r="F15" s="1" t="s">
        <v>99</v>
      </c>
      <c r="G15" s="1" t="s">
        <v>100</v>
      </c>
      <c r="H15" s="1" t="s">
        <v>143</v>
      </c>
      <c r="I15" s="2">
        <v>46.1</v>
      </c>
      <c r="J15" s="1" t="s">
        <v>144</v>
      </c>
      <c r="K15" s="2">
        <v>82.5</v>
      </c>
      <c r="L15" s="2">
        <v>52.5</v>
      </c>
      <c r="M15" s="2">
        <v>125.5</v>
      </c>
      <c r="N15" s="1" t="s">
        <v>47</v>
      </c>
      <c r="O15" s="1" t="s">
        <v>34</v>
      </c>
      <c r="P15" s="1" t="s">
        <v>35</v>
      </c>
      <c r="Q15" s="1" t="s">
        <v>145</v>
      </c>
      <c r="R15" s="1" t="s">
        <v>49</v>
      </c>
      <c r="S15" s="1" t="s">
        <v>38</v>
      </c>
      <c r="T15" s="1" t="s">
        <v>146</v>
      </c>
      <c r="U15" s="1" t="s">
        <v>35</v>
      </c>
      <c r="V15" s="1" t="s">
        <v>131</v>
      </c>
      <c r="W15" s="1" t="s">
        <v>147</v>
      </c>
      <c r="X15" s="1" t="s">
        <v>97</v>
      </c>
      <c r="Y15" s="1" t="s">
        <v>34</v>
      </c>
    </row>
    <row r="16" spans="1:25">
      <c r="A16" s="1" t="s">
        <v>148</v>
      </c>
      <c r="B16" s="1" t="s">
        <v>63</v>
      </c>
      <c r="C16" s="1" t="s">
        <v>27</v>
      </c>
      <c r="D16" s="1" t="s">
        <v>28</v>
      </c>
      <c r="E16" s="2">
        <v>23</v>
      </c>
      <c r="F16" s="1" t="s">
        <v>44</v>
      </c>
      <c r="G16" s="1" t="s">
        <v>45</v>
      </c>
      <c r="H16" s="1" t="s">
        <v>149</v>
      </c>
      <c r="I16" s="2">
        <v>74.2</v>
      </c>
      <c r="J16" s="1" t="s">
        <v>115</v>
      </c>
      <c r="K16" s="2">
        <v>170</v>
      </c>
      <c r="L16" s="2">
        <v>85</v>
      </c>
      <c r="M16" s="2">
        <v>197.5</v>
      </c>
      <c r="N16" s="1" t="s">
        <v>33</v>
      </c>
      <c r="O16" s="1" t="s">
        <v>34</v>
      </c>
      <c r="P16" s="1" t="s">
        <v>150</v>
      </c>
      <c r="Q16" s="1" t="s">
        <v>151</v>
      </c>
      <c r="R16" s="1" t="s">
        <v>152</v>
      </c>
      <c r="S16" s="1" t="s">
        <v>38</v>
      </c>
      <c r="T16" s="1" t="s">
        <v>153</v>
      </c>
      <c r="U16" s="1" t="s">
        <v>150</v>
      </c>
      <c r="V16" s="1" t="s">
        <v>151</v>
      </c>
      <c r="W16" s="1" t="s">
        <v>154</v>
      </c>
      <c r="X16" s="1" t="s">
        <v>155</v>
      </c>
      <c r="Y16" s="1" t="s">
        <v>34</v>
      </c>
    </row>
    <row r="17" spans="1:25">
      <c r="A17" s="1" t="s">
        <v>156</v>
      </c>
      <c r="B17" s="1" t="s">
        <v>26</v>
      </c>
      <c r="C17" s="1" t="s">
        <v>27</v>
      </c>
      <c r="D17" s="1" t="s">
        <v>28</v>
      </c>
      <c r="E17" s="2">
        <v>33.5</v>
      </c>
      <c r="F17" s="1" t="s">
        <v>82</v>
      </c>
      <c r="G17" s="1" t="s">
        <v>83</v>
      </c>
      <c r="H17" s="1" t="s">
        <v>84</v>
      </c>
      <c r="I17" s="2">
        <v>92.8</v>
      </c>
      <c r="J17" s="1" t="s">
        <v>107</v>
      </c>
      <c r="K17" s="2">
        <v>255</v>
      </c>
      <c r="L17" s="2">
        <v>182.5</v>
      </c>
      <c r="M17" s="2">
        <v>245</v>
      </c>
      <c r="N17" s="1" t="s">
        <v>33</v>
      </c>
      <c r="O17" s="1" t="s">
        <v>34</v>
      </c>
      <c r="P17" s="1" t="s">
        <v>67</v>
      </c>
      <c r="Q17" s="1" t="s">
        <v>68</v>
      </c>
      <c r="R17" s="1" t="s">
        <v>69</v>
      </c>
      <c r="S17" s="1" t="s">
        <v>38</v>
      </c>
      <c r="T17" s="1" t="s">
        <v>157</v>
      </c>
      <c r="U17" s="1" t="s">
        <v>67</v>
      </c>
      <c r="V17" s="1" t="s">
        <v>68</v>
      </c>
      <c r="W17" s="1" t="s">
        <v>158</v>
      </c>
      <c r="X17" s="1" t="s">
        <v>159</v>
      </c>
      <c r="Y17" s="1" t="s">
        <v>34</v>
      </c>
    </row>
    <row r="18" spans="1:25">
      <c r="A18" s="1" t="s">
        <v>160</v>
      </c>
      <c r="B18" s="1" t="s">
        <v>63</v>
      </c>
      <c r="C18" s="1" t="s">
        <v>27</v>
      </c>
      <c r="D18" s="1" t="s">
        <v>28</v>
      </c>
      <c r="E18" s="2">
        <v>22.5</v>
      </c>
      <c r="F18" s="1" t="s">
        <v>44</v>
      </c>
      <c r="G18" s="1" t="s">
        <v>45</v>
      </c>
      <c r="H18" s="1" t="s">
        <v>149</v>
      </c>
      <c r="I18" s="2">
        <v>61.8</v>
      </c>
      <c r="J18" s="1" t="s">
        <v>94</v>
      </c>
      <c r="K18" s="2">
        <v>87.5</v>
      </c>
      <c r="L18" s="2">
        <v>57.5</v>
      </c>
      <c r="M18" s="2">
        <v>110</v>
      </c>
      <c r="N18" s="1" t="s">
        <v>161</v>
      </c>
      <c r="O18" s="1" t="s">
        <v>34</v>
      </c>
      <c r="P18" s="1" t="s">
        <v>35</v>
      </c>
      <c r="Q18" s="1" t="s">
        <v>162</v>
      </c>
      <c r="R18" s="1" t="s">
        <v>49</v>
      </c>
      <c r="S18" s="1" t="s">
        <v>38</v>
      </c>
      <c r="T18" s="1" t="s">
        <v>110</v>
      </c>
      <c r="U18" s="1" t="s">
        <v>35</v>
      </c>
      <c r="V18" s="1" t="s">
        <v>111</v>
      </c>
      <c r="W18" s="1" t="s">
        <v>112</v>
      </c>
      <c r="X18" s="1" t="s">
        <v>97</v>
      </c>
      <c r="Y18" s="1" t="s">
        <v>34</v>
      </c>
    </row>
    <row r="19" spans="1:25">
      <c r="A19" s="1" t="s">
        <v>163</v>
      </c>
      <c r="B19" s="1" t="s">
        <v>63</v>
      </c>
      <c r="C19" s="1" t="s">
        <v>27</v>
      </c>
      <c r="D19" s="1" t="s">
        <v>28</v>
      </c>
      <c r="E19" s="2">
        <v>33.5</v>
      </c>
      <c r="F19" s="1" t="s">
        <v>82</v>
      </c>
      <c r="G19" s="1" t="s">
        <v>83</v>
      </c>
      <c r="H19" s="1" t="s">
        <v>164</v>
      </c>
      <c r="I19" s="2">
        <v>71.09999999999999</v>
      </c>
      <c r="J19" s="1" t="s">
        <v>165</v>
      </c>
      <c r="K19" s="2">
        <v>107.5</v>
      </c>
      <c r="L19" s="2">
        <v>65</v>
      </c>
      <c r="M19" s="2">
        <v>115</v>
      </c>
      <c r="N19" s="1" t="s">
        <v>77</v>
      </c>
      <c r="O19" s="1" t="s">
        <v>34</v>
      </c>
      <c r="P19" s="1" t="s">
        <v>35</v>
      </c>
      <c r="Q19" s="1" t="s">
        <v>48</v>
      </c>
      <c r="R19" s="1" t="s">
        <v>49</v>
      </c>
      <c r="S19" s="1" t="s">
        <v>38</v>
      </c>
      <c r="T19" s="1" t="s">
        <v>166</v>
      </c>
      <c r="U19" s="1" t="s">
        <v>35</v>
      </c>
      <c r="V19" s="1" t="s">
        <v>48</v>
      </c>
      <c r="W19" s="1" t="s">
        <v>167</v>
      </c>
      <c r="X19" s="1" t="s">
        <v>168</v>
      </c>
      <c r="Y19" s="1" t="s">
        <v>34</v>
      </c>
    </row>
    <row r="20" spans="1:25">
      <c r="A20" s="1" t="s">
        <v>169</v>
      </c>
      <c r="B20" s="1" t="s">
        <v>26</v>
      </c>
      <c r="C20" s="1" t="s">
        <v>27</v>
      </c>
      <c r="D20" s="1" t="s">
        <v>28</v>
      </c>
      <c r="E20" s="2">
        <v>18.5</v>
      </c>
      <c r="F20" s="1" t="s">
        <v>92</v>
      </c>
      <c r="G20" s="1" t="s">
        <v>45</v>
      </c>
      <c r="H20" s="1" t="s">
        <v>170</v>
      </c>
      <c r="I20" s="2">
        <v>80.2</v>
      </c>
      <c r="J20" s="1" t="s">
        <v>32</v>
      </c>
      <c r="K20" s="2">
        <v>162.5</v>
      </c>
      <c r="L20" s="2">
        <v>102.5</v>
      </c>
      <c r="M20" s="2">
        <v>205</v>
      </c>
      <c r="N20" s="1" t="s">
        <v>33</v>
      </c>
      <c r="O20" s="1" t="s">
        <v>34</v>
      </c>
      <c r="P20" s="1" t="s">
        <v>67</v>
      </c>
      <c r="Q20" s="1" t="s">
        <v>102</v>
      </c>
      <c r="R20" s="1" t="s">
        <v>69</v>
      </c>
      <c r="S20" s="1" t="s">
        <v>38</v>
      </c>
      <c r="T20" s="1" t="s">
        <v>171</v>
      </c>
      <c r="U20" s="1" t="s">
        <v>67</v>
      </c>
      <c r="V20" s="1" t="s">
        <v>102</v>
      </c>
      <c r="W20" s="1" t="s">
        <v>172</v>
      </c>
      <c r="X20" s="1" t="s">
        <v>173</v>
      </c>
      <c r="Y20" s="1" t="s">
        <v>34</v>
      </c>
    </row>
    <row r="21" spans="1:25">
      <c r="A21" s="1" t="s">
        <v>174</v>
      </c>
      <c r="B21" s="1" t="s">
        <v>26</v>
      </c>
      <c r="C21" s="1" t="s">
        <v>27</v>
      </c>
      <c r="D21" s="1" t="s">
        <v>28</v>
      </c>
      <c r="E21" s="2">
        <v>39</v>
      </c>
      <c r="F21" s="1" t="s">
        <v>175</v>
      </c>
      <c r="G21" s="1" t="s">
        <v>83</v>
      </c>
      <c r="H21" s="1" t="s">
        <v>31</v>
      </c>
      <c r="I21" s="2">
        <v>108.98</v>
      </c>
      <c r="J21" s="1" t="s">
        <v>176</v>
      </c>
      <c r="K21" s="2">
        <v>226.8</v>
      </c>
      <c r="L21" s="2">
        <v>165.56</v>
      </c>
      <c r="M21" s="2">
        <v>242.67</v>
      </c>
      <c r="N21" s="1" t="s">
        <v>47</v>
      </c>
      <c r="O21" s="1" t="s">
        <v>34</v>
      </c>
      <c r="P21" s="1" t="s">
        <v>35</v>
      </c>
      <c r="Q21" s="1" t="s">
        <v>177</v>
      </c>
      <c r="R21" s="1" t="s">
        <v>49</v>
      </c>
      <c r="S21" s="1" t="s">
        <v>38</v>
      </c>
      <c r="T21" s="1" t="s">
        <v>178</v>
      </c>
      <c r="U21" s="1" t="s">
        <v>35</v>
      </c>
      <c r="V21" s="1" t="s">
        <v>177</v>
      </c>
      <c r="W21" s="1" t="s">
        <v>179</v>
      </c>
      <c r="X21" s="1" t="s">
        <v>180</v>
      </c>
      <c r="Y21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>
  <dimension ref="A1:H21"/>
  <sheetViews>
    <sheetView workbookViewId="0"/>
  </sheetViews>
  <sheetFormatPr defaultRowHeight="15"/>
  <sheetData>
    <row r="1" spans="1:8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 spans="1:8">
      <c r="A2">
        <f>Data!A2</f>
        <v>0</v>
      </c>
      <c r="B2">
        <f>Data!B2</f>
        <v>0</v>
      </c>
      <c r="C2">
        <f>Data!I2</f>
        <v>0</v>
      </c>
      <c r="D2">
        <f>Data!K2</f>
        <v>0</v>
      </c>
      <c r="E2">
        <f>Data!L2</f>
        <v>0</v>
      </c>
      <c r="F2">
        <f>Data!M2</f>
        <v>0</v>
      </c>
      <c r="G2">
        <f>D2+E2+F2</f>
        <v>0</v>
      </c>
      <c r="H2">
        <f>ROUND(IF(B2="M",G2*(500/(-1.093e-06*POWER(MAX(40,MIN(210,C2)),4)+0.0007391293*POWER(MAX(40,MIN(210,C2)),3)+-0.1918759221*POWER(MAX(40,MIN(210,C2)),2)+24.0900756*MAX(40,MIN(210,C2))+-307.75076)),G2*(500/(-1.0706e-06*POWER(MAX(40,MIN(150,C2)),4)+0.0005158568*POWER(MAX(40,MIN(150,C2)),3)+-0.1126655495*POWER(MAX(40,MIN(150,C2)),2)+13.6175032*MAX(40,MIN(150,C2))+-57.96288))),3)</f>
        <v>0</v>
      </c>
    </row>
    <row r="3" spans="1:8">
      <c r="A3">
        <f>Data!A3</f>
        <v>0</v>
      </c>
      <c r="B3">
        <f>Data!B3</f>
        <v>0</v>
      </c>
      <c r="C3">
        <f>Data!I3</f>
        <v>0</v>
      </c>
      <c r="D3">
        <f>Data!K3</f>
        <v>0</v>
      </c>
      <c r="E3">
        <f>Data!L3</f>
        <v>0</v>
      </c>
      <c r="F3">
        <f>Data!M3</f>
        <v>0</v>
      </c>
      <c r="G3">
        <f>D3+E3+F3</f>
        <v>0</v>
      </c>
      <c r="H3">
        <f>ROUND(IF(B3="M",G3*(500/(-1.093e-06*POWER(MAX(40,MIN(210,C3)),4)+0.0007391293*POWER(MAX(40,MIN(210,C3)),3)+-0.1918759221*POWER(MAX(40,MIN(210,C3)),2)+24.0900756*MAX(40,MIN(210,C3))+-307.75076)),G3*(500/(-1.0706e-06*POWER(MAX(40,MIN(150,C3)),4)+0.0005158568*POWER(MAX(40,MIN(150,C3)),3)+-0.1126655495*POWER(MAX(40,MIN(150,C3)),2)+13.6175032*MAX(40,MIN(150,C3))+-57.96288))),3)</f>
        <v>0</v>
      </c>
    </row>
    <row r="4" spans="1:8">
      <c r="A4">
        <f>Data!A4</f>
        <v>0</v>
      </c>
      <c r="B4">
        <f>Data!B4</f>
        <v>0</v>
      </c>
      <c r="C4">
        <f>Data!I4</f>
        <v>0</v>
      </c>
      <c r="D4">
        <f>Data!K4</f>
        <v>0</v>
      </c>
      <c r="E4">
        <f>Data!L4</f>
        <v>0</v>
      </c>
      <c r="F4">
        <f>Data!M4</f>
        <v>0</v>
      </c>
      <c r="G4">
        <f>D4+E4+F4</f>
        <v>0</v>
      </c>
      <c r="H4">
        <f>ROUND(IF(B4="M",G4*(500/(-1.093e-06*POWER(MAX(40,MIN(210,C4)),4)+0.0007391293*POWER(MAX(40,MIN(210,C4)),3)+-0.1918759221*POWER(MAX(40,MIN(210,C4)),2)+24.0900756*MAX(40,MIN(210,C4))+-307.75076)),G4*(500/(-1.0706e-06*POWER(MAX(40,MIN(150,C4)),4)+0.0005158568*POWER(MAX(40,MIN(150,C4)),3)+-0.1126655495*POWER(MAX(40,MIN(150,C4)),2)+13.6175032*MAX(40,MIN(150,C4))+-57.96288))),3)</f>
        <v>0</v>
      </c>
    </row>
    <row r="5" spans="1:8">
      <c r="A5">
        <f>Data!A5</f>
        <v>0</v>
      </c>
      <c r="B5">
        <f>Data!B5</f>
        <v>0</v>
      </c>
      <c r="C5">
        <f>Data!I5</f>
        <v>0</v>
      </c>
      <c r="D5">
        <f>Data!K5</f>
        <v>0</v>
      </c>
      <c r="E5">
        <f>Data!L5</f>
        <v>0</v>
      </c>
      <c r="F5">
        <f>Data!M5</f>
        <v>0</v>
      </c>
      <c r="G5">
        <f>D5+E5+F5</f>
        <v>0</v>
      </c>
      <c r="H5">
        <f>ROUND(IF(B5="M",G5*(500/(-1.093e-06*POWER(MAX(40,MIN(210,C5)),4)+0.0007391293*POWER(MAX(40,MIN(210,C5)),3)+-0.1918759221*POWER(MAX(40,MIN(210,C5)),2)+24.0900756*MAX(40,MIN(210,C5))+-307.75076)),G5*(500/(-1.0706e-06*POWER(MAX(40,MIN(150,C5)),4)+0.0005158568*POWER(MAX(40,MIN(150,C5)),3)+-0.1126655495*POWER(MAX(40,MIN(150,C5)),2)+13.6175032*MAX(40,MIN(150,C5))+-57.96288))),3)</f>
        <v>0</v>
      </c>
    </row>
    <row r="6" spans="1:8">
      <c r="A6">
        <f>Data!A6</f>
        <v>0</v>
      </c>
      <c r="B6">
        <f>Data!B6</f>
        <v>0</v>
      </c>
      <c r="C6">
        <f>Data!I6</f>
        <v>0</v>
      </c>
      <c r="D6">
        <f>Data!K6</f>
        <v>0</v>
      </c>
      <c r="E6">
        <f>Data!L6</f>
        <v>0</v>
      </c>
      <c r="F6">
        <f>Data!M6</f>
        <v>0</v>
      </c>
      <c r="G6">
        <f>D6+E6+F6</f>
        <v>0</v>
      </c>
      <c r="H6">
        <f>ROUND(IF(B6="M",G6*(500/(-1.093e-06*POWER(MAX(40,MIN(210,C6)),4)+0.0007391293*POWER(MAX(40,MIN(210,C6)),3)+-0.1918759221*POWER(MAX(40,MIN(210,C6)),2)+24.0900756*MAX(40,MIN(210,C6))+-307.75076)),G6*(500/(-1.0706e-06*POWER(MAX(40,MIN(150,C6)),4)+0.0005158568*POWER(MAX(40,MIN(150,C6)),3)+-0.1126655495*POWER(MAX(40,MIN(150,C6)),2)+13.6175032*MAX(40,MIN(150,C6))+-57.96288))),3)</f>
        <v>0</v>
      </c>
    </row>
    <row r="7" spans="1:8">
      <c r="A7">
        <f>Data!A7</f>
        <v>0</v>
      </c>
      <c r="B7">
        <f>Data!B7</f>
        <v>0</v>
      </c>
      <c r="C7">
        <f>Data!I7</f>
        <v>0</v>
      </c>
      <c r="D7">
        <f>Data!K7</f>
        <v>0</v>
      </c>
      <c r="E7">
        <f>Data!L7</f>
        <v>0</v>
      </c>
      <c r="F7">
        <f>Data!M7</f>
        <v>0</v>
      </c>
      <c r="G7">
        <f>D7+E7+F7</f>
        <v>0</v>
      </c>
      <c r="H7">
        <f>ROUND(IF(B7="M",G7*(500/(-1.093e-06*POWER(MAX(40,MIN(210,C7)),4)+0.0007391293*POWER(MAX(40,MIN(210,C7)),3)+-0.1918759221*POWER(MAX(40,MIN(210,C7)),2)+24.0900756*MAX(40,MIN(210,C7))+-307.75076)),G7*(500/(-1.0706e-06*POWER(MAX(40,MIN(150,C7)),4)+0.0005158568*POWER(MAX(40,MIN(150,C7)),3)+-0.1126655495*POWER(MAX(40,MIN(150,C7)),2)+13.6175032*MAX(40,MIN(150,C7))+-57.96288))),3)</f>
        <v>0</v>
      </c>
    </row>
    <row r="8" spans="1:8">
      <c r="A8">
        <f>Data!A8</f>
        <v>0</v>
      </c>
      <c r="B8">
        <f>Data!B8</f>
        <v>0</v>
      </c>
      <c r="C8">
        <f>Data!I8</f>
        <v>0</v>
      </c>
      <c r="D8">
        <f>Data!K8</f>
        <v>0</v>
      </c>
      <c r="E8">
        <f>Data!L8</f>
        <v>0</v>
      </c>
      <c r="F8">
        <f>Data!M8</f>
        <v>0</v>
      </c>
      <c r="G8">
        <f>D8+E8+F8</f>
        <v>0</v>
      </c>
      <c r="H8">
        <f>ROUND(IF(B8="M",G8*(500/(-1.093e-06*POWER(MAX(40,MIN(210,C8)),4)+0.0007391293*POWER(MAX(40,MIN(210,C8)),3)+-0.1918759221*POWER(MAX(40,MIN(210,C8)),2)+24.0900756*MAX(40,MIN(210,C8))+-307.75076)),G8*(500/(-1.0706e-06*POWER(MAX(40,MIN(150,C8)),4)+0.0005158568*POWER(MAX(40,MIN(150,C8)),3)+-0.1126655495*POWER(MAX(40,MIN(150,C8)),2)+13.6175032*MAX(40,MIN(150,C8))+-57.96288))),3)</f>
        <v>0</v>
      </c>
    </row>
    <row r="9" spans="1:8">
      <c r="A9">
        <f>Data!A9</f>
        <v>0</v>
      </c>
      <c r="B9">
        <f>Data!B9</f>
        <v>0</v>
      </c>
      <c r="C9">
        <f>Data!I9</f>
        <v>0</v>
      </c>
      <c r="D9">
        <f>Data!K9</f>
        <v>0</v>
      </c>
      <c r="E9">
        <f>Data!L9</f>
        <v>0</v>
      </c>
      <c r="F9">
        <f>Data!M9</f>
        <v>0</v>
      </c>
      <c r="G9">
        <f>D9+E9+F9</f>
        <v>0</v>
      </c>
      <c r="H9">
        <f>ROUND(IF(B9="M",G9*(500/(-1.093e-06*POWER(MAX(40,MIN(210,C9)),4)+0.0007391293*POWER(MAX(40,MIN(210,C9)),3)+-0.1918759221*POWER(MAX(40,MIN(210,C9)),2)+24.0900756*MAX(40,MIN(210,C9))+-307.75076)),G9*(500/(-1.0706e-06*POWER(MAX(40,MIN(150,C9)),4)+0.0005158568*POWER(MAX(40,MIN(150,C9)),3)+-0.1126655495*POWER(MAX(40,MIN(150,C9)),2)+13.6175032*MAX(40,MIN(150,C9))+-57.96288))),3)</f>
        <v>0</v>
      </c>
    </row>
    <row r="10" spans="1:8">
      <c r="A10">
        <f>Data!A10</f>
        <v>0</v>
      </c>
      <c r="B10">
        <f>Data!B10</f>
        <v>0</v>
      </c>
      <c r="C10">
        <f>Data!I10</f>
        <v>0</v>
      </c>
      <c r="D10">
        <f>Data!K10</f>
        <v>0</v>
      </c>
      <c r="E10">
        <f>Data!L10</f>
        <v>0</v>
      </c>
      <c r="F10">
        <f>Data!M10</f>
        <v>0</v>
      </c>
      <c r="G10">
        <f>D10+E10+F10</f>
        <v>0</v>
      </c>
      <c r="H10">
        <f>ROUND(IF(B10="M",G10*(500/(-1.093e-06*POWER(MAX(40,MIN(210,C10)),4)+0.0007391293*POWER(MAX(40,MIN(210,C10)),3)+-0.1918759221*POWER(MAX(40,MIN(210,C10)),2)+24.0900756*MAX(40,MIN(210,C10))+-307.75076)),G10*(500/(-1.0706e-06*POWER(MAX(40,MIN(150,C10)),4)+0.0005158568*POWER(MAX(40,MIN(150,C10)),3)+-0.1126655495*POWER(MAX(40,MIN(150,C10)),2)+13.6175032*MAX(40,MIN(150,C10))+-57.96288))),3)</f>
        <v>0</v>
      </c>
    </row>
    <row r="11" spans="1:8">
      <c r="A11">
        <f>Data!A11</f>
        <v>0</v>
      </c>
      <c r="B11">
        <f>Data!B11</f>
        <v>0</v>
      </c>
      <c r="C11">
        <f>Data!I11</f>
        <v>0</v>
      </c>
      <c r="D11">
        <f>Data!K11</f>
        <v>0</v>
      </c>
      <c r="E11">
        <f>Data!L11</f>
        <v>0</v>
      </c>
      <c r="F11">
        <f>Data!M11</f>
        <v>0</v>
      </c>
      <c r="G11">
        <f>D11+E11+F11</f>
        <v>0</v>
      </c>
      <c r="H11">
        <f>ROUND(IF(B11="M",G11*(500/(-1.093e-06*POWER(MAX(40,MIN(210,C11)),4)+0.0007391293*POWER(MAX(40,MIN(210,C11)),3)+-0.1918759221*POWER(MAX(40,MIN(210,C11)),2)+24.0900756*MAX(40,MIN(210,C11))+-307.75076)),G11*(500/(-1.0706e-06*POWER(MAX(40,MIN(150,C11)),4)+0.0005158568*POWER(MAX(40,MIN(150,C11)),3)+-0.1126655495*POWER(MAX(40,MIN(150,C11)),2)+13.6175032*MAX(40,MIN(150,C11))+-57.96288))),3)</f>
        <v>0</v>
      </c>
    </row>
    <row r="12" spans="1:8">
      <c r="A12">
        <f>Data!A12</f>
        <v>0</v>
      </c>
      <c r="B12">
        <f>Data!B12</f>
        <v>0</v>
      </c>
      <c r="C12">
        <f>Data!I12</f>
        <v>0</v>
      </c>
      <c r="D12">
        <f>Data!K12</f>
        <v>0</v>
      </c>
      <c r="E12">
        <f>Data!L12</f>
        <v>0</v>
      </c>
      <c r="F12">
        <f>Data!M12</f>
        <v>0</v>
      </c>
      <c r="G12">
        <f>D12+E12+F12</f>
        <v>0</v>
      </c>
      <c r="H12">
        <f>ROUND(IF(B12="M",G12*(500/(-1.093e-06*POWER(MAX(40,MIN(210,C12)),4)+0.0007391293*POWER(MAX(40,MIN(210,C12)),3)+-0.1918759221*POWER(MAX(40,MIN(210,C12)),2)+24.0900756*MAX(40,MIN(210,C12))+-307.75076)),G12*(500/(-1.0706e-06*POWER(MAX(40,MIN(150,C12)),4)+0.0005158568*POWER(MAX(40,MIN(150,C12)),3)+-0.1126655495*POWER(MAX(40,MIN(150,C12)),2)+13.6175032*MAX(40,MIN(150,C12))+-57.96288))),3)</f>
        <v>0</v>
      </c>
    </row>
    <row r="13" spans="1:8">
      <c r="A13">
        <f>Data!A13</f>
        <v>0</v>
      </c>
      <c r="B13">
        <f>Data!B13</f>
        <v>0</v>
      </c>
      <c r="C13">
        <f>Data!I13</f>
        <v>0</v>
      </c>
      <c r="D13">
        <f>Data!K13</f>
        <v>0</v>
      </c>
      <c r="E13">
        <f>Data!L13</f>
        <v>0</v>
      </c>
      <c r="F13">
        <f>Data!M13</f>
        <v>0</v>
      </c>
      <c r="G13">
        <f>D13+E13+F13</f>
        <v>0</v>
      </c>
      <c r="H13">
        <f>ROUND(IF(B13="M",G13*(500/(-1.093e-06*POWER(MAX(40,MIN(210,C13)),4)+0.0007391293*POWER(MAX(40,MIN(210,C13)),3)+-0.1918759221*POWER(MAX(40,MIN(210,C13)),2)+24.0900756*MAX(40,MIN(210,C13))+-307.75076)),G13*(500/(-1.0706e-06*POWER(MAX(40,MIN(150,C13)),4)+0.0005158568*POWER(MAX(40,MIN(150,C13)),3)+-0.1126655495*POWER(MAX(40,MIN(150,C13)),2)+13.6175032*MAX(40,MIN(150,C13))+-57.96288))),3)</f>
        <v>0</v>
      </c>
    </row>
    <row r="14" spans="1:8">
      <c r="A14">
        <f>Data!A14</f>
        <v>0</v>
      </c>
      <c r="B14">
        <f>Data!B14</f>
        <v>0</v>
      </c>
      <c r="C14">
        <f>Data!I14</f>
        <v>0</v>
      </c>
      <c r="D14">
        <f>Data!K14</f>
        <v>0</v>
      </c>
      <c r="E14">
        <f>Data!L14</f>
        <v>0</v>
      </c>
      <c r="F14">
        <f>Data!M14</f>
        <v>0</v>
      </c>
      <c r="G14">
        <f>D14+E14+F14</f>
        <v>0</v>
      </c>
      <c r="H14">
        <f>ROUND(IF(B14="M",G14*(500/(-1.093e-06*POWER(MAX(40,MIN(210,C14)),4)+0.0007391293*POWER(MAX(40,MIN(210,C14)),3)+-0.1918759221*POWER(MAX(40,MIN(210,C14)),2)+24.0900756*MAX(40,MIN(210,C14))+-307.75076)),G14*(500/(-1.0706e-06*POWER(MAX(40,MIN(150,C14)),4)+0.0005158568*POWER(MAX(40,MIN(150,C14)),3)+-0.1126655495*POWER(MAX(40,MIN(150,C14)),2)+13.6175032*MAX(40,MIN(150,C14))+-57.96288))),3)</f>
        <v>0</v>
      </c>
    </row>
    <row r="15" spans="1:8">
      <c r="A15">
        <f>Data!A15</f>
        <v>0</v>
      </c>
      <c r="B15">
        <f>Data!B15</f>
        <v>0</v>
      </c>
      <c r="C15">
        <f>Data!I15</f>
        <v>0</v>
      </c>
      <c r="D15">
        <f>Data!K15</f>
        <v>0</v>
      </c>
      <c r="E15">
        <f>Data!L15</f>
        <v>0</v>
      </c>
      <c r="F15">
        <f>Data!M15</f>
        <v>0</v>
      </c>
      <c r="G15">
        <f>D15+E15+F15</f>
        <v>0</v>
      </c>
      <c r="H15">
        <f>ROUND(IF(B15="M",G15*(500/(-1.093e-06*POWER(MAX(40,MIN(210,C15)),4)+0.0007391293*POWER(MAX(40,MIN(210,C15)),3)+-0.1918759221*POWER(MAX(40,MIN(210,C15)),2)+24.0900756*MAX(40,MIN(210,C15))+-307.75076)),G15*(500/(-1.0706e-06*POWER(MAX(40,MIN(150,C15)),4)+0.0005158568*POWER(MAX(40,MIN(150,C15)),3)+-0.1126655495*POWER(MAX(40,MIN(150,C15)),2)+13.6175032*MAX(40,MIN(150,C15))+-57.96288))),3)</f>
        <v>0</v>
      </c>
    </row>
    <row r="16" spans="1:8">
      <c r="A16">
        <f>Data!A16</f>
        <v>0</v>
      </c>
      <c r="B16">
        <f>Data!B16</f>
        <v>0</v>
      </c>
      <c r="C16">
        <f>Data!I16</f>
        <v>0</v>
      </c>
      <c r="D16">
        <f>Data!K16</f>
        <v>0</v>
      </c>
      <c r="E16">
        <f>Data!L16</f>
        <v>0</v>
      </c>
      <c r="F16">
        <f>Data!M16</f>
        <v>0</v>
      </c>
      <c r="G16">
        <f>D16+E16+F16</f>
        <v>0</v>
      </c>
      <c r="H16">
        <f>ROUND(IF(B16="M",G16*(500/(-1.093e-06*POWER(MAX(40,MIN(210,C16)),4)+0.0007391293*POWER(MAX(40,MIN(210,C16)),3)+-0.1918759221*POWER(MAX(40,MIN(210,C16)),2)+24.0900756*MAX(40,MIN(210,C16))+-307.75076)),G16*(500/(-1.0706e-06*POWER(MAX(40,MIN(150,C16)),4)+0.0005158568*POWER(MAX(40,MIN(150,C16)),3)+-0.1126655495*POWER(MAX(40,MIN(150,C16)),2)+13.6175032*MAX(40,MIN(150,C16))+-57.96288))),3)</f>
        <v>0</v>
      </c>
    </row>
    <row r="17" spans="1:8">
      <c r="A17">
        <f>Data!A17</f>
        <v>0</v>
      </c>
      <c r="B17">
        <f>Data!B17</f>
        <v>0</v>
      </c>
      <c r="C17">
        <f>Data!I17</f>
        <v>0</v>
      </c>
      <c r="D17">
        <f>Data!K17</f>
        <v>0</v>
      </c>
      <c r="E17">
        <f>Data!L17</f>
        <v>0</v>
      </c>
      <c r="F17">
        <f>Data!M17</f>
        <v>0</v>
      </c>
      <c r="G17">
        <f>D17+E17+F17</f>
        <v>0</v>
      </c>
      <c r="H17">
        <f>ROUND(IF(B17="M",G17*(500/(-1.093e-06*POWER(MAX(40,MIN(210,C17)),4)+0.0007391293*POWER(MAX(40,MIN(210,C17)),3)+-0.1918759221*POWER(MAX(40,MIN(210,C17)),2)+24.0900756*MAX(40,MIN(210,C17))+-307.75076)),G17*(500/(-1.0706e-06*POWER(MAX(40,MIN(150,C17)),4)+0.0005158568*POWER(MAX(40,MIN(150,C17)),3)+-0.1126655495*POWER(MAX(40,MIN(150,C17)),2)+13.6175032*MAX(40,MIN(150,C17))+-57.96288))),3)</f>
        <v>0</v>
      </c>
    </row>
    <row r="18" spans="1:8">
      <c r="A18">
        <f>Data!A18</f>
        <v>0</v>
      </c>
      <c r="B18">
        <f>Data!B18</f>
        <v>0</v>
      </c>
      <c r="C18">
        <f>Data!I18</f>
        <v>0</v>
      </c>
      <c r="D18">
        <f>Data!K18</f>
        <v>0</v>
      </c>
      <c r="E18">
        <f>Data!L18</f>
        <v>0</v>
      </c>
      <c r="F18">
        <f>Data!M18</f>
        <v>0</v>
      </c>
      <c r="G18">
        <f>D18+E18+F18</f>
        <v>0</v>
      </c>
      <c r="H18">
        <f>ROUND(IF(B18="M",G18*(500/(-1.093e-06*POWER(MAX(40,MIN(210,C18)),4)+0.0007391293*POWER(MAX(40,MIN(210,C18)),3)+-0.1918759221*POWER(MAX(40,MIN(210,C18)),2)+24.0900756*MAX(40,MIN(210,C18))+-307.75076)),G18*(500/(-1.0706e-06*POWER(MAX(40,MIN(150,C18)),4)+0.0005158568*POWER(MAX(40,MIN(150,C18)),3)+-0.1126655495*POWER(MAX(40,MIN(150,C18)),2)+13.6175032*MAX(40,MIN(150,C18))+-57.96288))),3)</f>
        <v>0</v>
      </c>
    </row>
    <row r="19" spans="1:8">
      <c r="A19">
        <f>Data!A19</f>
        <v>0</v>
      </c>
      <c r="B19">
        <f>Data!B19</f>
        <v>0</v>
      </c>
      <c r="C19">
        <f>Data!I19</f>
        <v>0</v>
      </c>
      <c r="D19">
        <f>Data!K19</f>
        <v>0</v>
      </c>
      <c r="E19">
        <f>Data!L19</f>
        <v>0</v>
      </c>
      <c r="F19">
        <f>Data!M19</f>
        <v>0</v>
      </c>
      <c r="G19">
        <f>D19+E19+F19</f>
        <v>0</v>
      </c>
      <c r="H19">
        <f>ROUND(IF(B19="M",G19*(500/(-1.093e-06*POWER(MAX(40,MIN(210,C19)),4)+0.0007391293*POWER(MAX(40,MIN(210,C19)),3)+-0.1918759221*POWER(MAX(40,MIN(210,C19)),2)+24.0900756*MAX(40,MIN(210,C19))+-307.75076)),G19*(500/(-1.0706e-06*POWER(MAX(40,MIN(150,C19)),4)+0.0005158568*POWER(MAX(40,MIN(150,C19)),3)+-0.1126655495*POWER(MAX(40,MIN(150,C19)),2)+13.6175032*MAX(40,MIN(150,C19))+-57.96288))),3)</f>
        <v>0</v>
      </c>
    </row>
    <row r="20" spans="1:8">
      <c r="A20">
        <f>Data!A20</f>
        <v>0</v>
      </c>
      <c r="B20">
        <f>Data!B20</f>
        <v>0</v>
      </c>
      <c r="C20">
        <f>Data!I20</f>
        <v>0</v>
      </c>
      <c r="D20">
        <f>Data!K20</f>
        <v>0</v>
      </c>
      <c r="E20">
        <f>Data!L20</f>
        <v>0</v>
      </c>
      <c r="F20">
        <f>Data!M20</f>
        <v>0</v>
      </c>
      <c r="G20">
        <f>D20+E20+F20</f>
        <v>0</v>
      </c>
      <c r="H20">
        <f>ROUND(IF(B20="M",G20*(500/(-1.093e-06*POWER(MAX(40,MIN(210,C20)),4)+0.0007391293*POWER(MAX(40,MIN(210,C20)),3)+-0.1918759221*POWER(MAX(40,MIN(210,C20)),2)+24.0900756*MAX(40,MIN(210,C20))+-307.75076)),G20*(500/(-1.0706e-06*POWER(MAX(40,MIN(150,C20)),4)+0.0005158568*POWER(MAX(40,MIN(150,C20)),3)+-0.1126655495*POWER(MAX(40,MIN(150,C20)),2)+13.6175032*MAX(40,MIN(150,C20))+-57.96288))),3)</f>
        <v>0</v>
      </c>
    </row>
    <row r="21" spans="1:8">
      <c r="A21">
        <f>Data!A21</f>
        <v>0</v>
      </c>
      <c r="B21">
        <f>Data!B21</f>
        <v>0</v>
      </c>
      <c r="C21">
        <f>Data!I21</f>
        <v>0</v>
      </c>
      <c r="D21">
        <f>Data!K21</f>
        <v>0</v>
      </c>
      <c r="E21">
        <f>Data!L21</f>
        <v>0</v>
      </c>
      <c r="F21">
        <f>Data!M21</f>
        <v>0</v>
      </c>
      <c r="G21">
        <f>D21+E21+F21</f>
        <v>0</v>
      </c>
      <c r="H21">
        <f>ROUND(IF(B21="M",G21*(500/(-1.093e-06*POWER(MAX(40,MIN(210,C21)),4)+0.0007391293*POWER(MAX(40,MIN(210,C21)),3)+-0.1918759221*POWER(MAX(40,MIN(210,C21)),2)+24.0900756*MAX(40,MIN(210,C21))+-307.75076)),G21*(500/(-1.0706e-06*POWER(MAX(40,MIN(150,C21)),4)+0.0005158568*POWER(MAX(40,MIN(150,C21)),3)+-0.1126655495*POWER(MAX(40,MIN(150,C21)),2)+13.6175032*MAX(40,MIN(150,C21))+-57.96288))),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2026-01-15T21:24:36Z</dcterms:created>
  <dcterms:modified xsi:type="dcterms:W3CDTF">2026-01-15T21:24:36Z</dcterms:modified>
</cp:coreProperties>
</file>